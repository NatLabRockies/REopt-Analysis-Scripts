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ernal\Documents\GitHub\REopt-Analysis-Scripts\REopt Julia Package Scripts\results\"/>
    </mc:Choice>
  </mc:AlternateContent>
  <xr:revisionPtr revIDLastSave="0" documentId="13_ncr:1_{3A40A5E9-8751-4AF2-A617-2F4D0C4DFD8F}" xr6:coauthVersionLast="47" xr6:coauthVersionMax="47" xr10:uidLastSave="{00000000-0000-0000-0000-000000000000}"/>
  <bookViews>
    <workbookView xWindow="28680" yWindow="555" windowWidth="29040" windowHeight="15720" activeTab="4" xr2:uid="{52D9C27D-0EF6-DD41-9728-0267E68F7539}"/>
  </bookViews>
  <sheets>
    <sheet name="Result_0" sheetId="4" r:id="rId1"/>
    <sheet name="Result_1" sheetId="2" r:id="rId2"/>
    <sheet name="Result_2" sheetId="3" r:id="rId3"/>
    <sheet name="Result_3" sheetId="5" r:id="rId4"/>
    <sheet name="Result_4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5" i="6"/>
  <c r="D6" i="6"/>
  <c r="D7" i="6"/>
  <c r="D8" i="6"/>
  <c r="D9" i="6"/>
  <c r="D10" i="6"/>
  <c r="D11" i="6"/>
  <c r="D12" i="6"/>
  <c r="D3" i="6"/>
</calcChain>
</file>

<file path=xl/sharedStrings.xml><?xml version="1.0" encoding="utf-8"?>
<sst xmlns="http://schemas.openxmlformats.org/spreadsheetml/2006/main" count="163" uniqueCount="109">
  <si>
    <t>threshold_payback</t>
  </si>
  <si>
    <t>payback_years</t>
  </si>
  <si>
    <t>npv</t>
  </si>
  <si>
    <t>lcc</t>
  </si>
  <si>
    <t>lcc_BAU</t>
  </si>
  <si>
    <t>PV_size</t>
  </si>
  <si>
    <t>PV_all_year1_production</t>
  </si>
  <si>
    <t>PV_all_annual_energy_production_avg</t>
  </si>
  <si>
    <t>PV_all_energy_lcoe</t>
  </si>
  <si>
    <t>PV_all_serving_load</t>
  </si>
  <si>
    <t>PV_all_energy_exported</t>
  </si>
  <si>
    <t>PV_all_energy_curtailed</t>
  </si>
  <si>
    <t>PV_all_energy_to_Battery_year1</t>
  </si>
  <si>
    <t>Battery_size_kw</t>
  </si>
  <si>
    <t>Battery_size_kwh</t>
  </si>
  <si>
    <t>Grid_Electricity_Supplied_kWh_annual</t>
  </si>
  <si>
    <t>Grid_Electricity_Supplied_kWh_annual_bau</t>
  </si>
  <si>
    <t>LifeCycle_Emission_Reduction_Fraction</t>
  </si>
  <si>
    <t>LifeCycle_capex_costs_for_generation_techs</t>
  </si>
  <si>
    <t>LifeCycle_capex_costs_for_battery</t>
  </si>
  <si>
    <t>Initial_upfront_capex_wo_incentives</t>
  </si>
  <si>
    <t>Initial_upfront_capex_w_incentives</t>
  </si>
  <si>
    <t>Initial_upfront_battery_capex</t>
  </si>
  <si>
    <t>Present_cost_of_replacement_battery_after_tax</t>
  </si>
  <si>
    <t>Year1_lifecycle_costs_om_before_tax</t>
  </si>
  <si>
    <t>Yr1_energy_cost_after_tax</t>
  </si>
  <si>
    <t>Yr1_demand_cost_after_tax</t>
  </si>
  <si>
    <t>Yr1_total_energy_bill_before_tax</t>
  </si>
  <si>
    <t>Year1_elec_bill_before_tax_bau</t>
  </si>
  <si>
    <t>Yr1_export_benefit_before_tax</t>
  </si>
  <si>
    <t>Yr1_total_operating_cost_before_tax</t>
  </si>
  <si>
    <t>IRR</t>
  </si>
  <si>
    <t>threshold_payback</t>
  </si>
  <si>
    <t>payback_years</t>
  </si>
  <si>
    <t>npv</t>
  </si>
  <si>
    <t>lcc</t>
  </si>
  <si>
    <t>lcc_BAU</t>
  </si>
  <si>
    <t>PV_size</t>
  </si>
  <si>
    <t>PV_all_year1_production</t>
  </si>
  <si>
    <t>PV_all_annual_energy_production_avg</t>
  </si>
  <si>
    <t>PV_all_energy_lcoe</t>
  </si>
  <si>
    <t>PV_all_serving_load</t>
  </si>
  <si>
    <t>PV_all_energy_exported</t>
  </si>
  <si>
    <t>PV_all_energy_curtailed</t>
  </si>
  <si>
    <t>PV_all_energy_to_Battery_year1</t>
  </si>
  <si>
    <t>Battery_size_kw</t>
  </si>
  <si>
    <t>Battery_size_kwh</t>
  </si>
  <si>
    <t>Grid_Electricity_Supplied_kWh_annual</t>
  </si>
  <si>
    <t>Grid_Electricity_Supplied_kWh_annual_bau</t>
  </si>
  <si>
    <t>LifeCycle_Emission_Reduction_Fraction</t>
  </si>
  <si>
    <t>LifeCycle_capex_costs_for_generation_techs</t>
  </si>
  <si>
    <t>LifeCycle_capex_costs_for_battery</t>
  </si>
  <si>
    <t>Initial_upfront_capex_wo_incentives</t>
  </si>
  <si>
    <t>Initial_upfront_capex_w_incentives</t>
  </si>
  <si>
    <t>Initial_upfront_battery_capex</t>
  </si>
  <si>
    <t>Present_cost_of_replacement_battery_after_tax</t>
  </si>
  <si>
    <t>Year1_lifecycle_costs_om_before_tax</t>
  </si>
  <si>
    <t>Yr1_energy_cost_after_tax</t>
  </si>
  <si>
    <t>Yr1_demand_cost_after_tax</t>
  </si>
  <si>
    <t>Yr1_total_energy_bill_before_tax</t>
  </si>
  <si>
    <t>Year1_elec_bill_before_tax_bau</t>
  </si>
  <si>
    <t>Yr1_export_benefit_before_tax</t>
  </si>
  <si>
    <t>Yr1_total_operating_cost_before_tax</t>
  </si>
  <si>
    <t>IRR</t>
  </si>
  <si>
    <t>Scenario</t>
  </si>
  <si>
    <t>PV only - 5 years payback</t>
  </si>
  <si>
    <t>PV only - 10 years payback</t>
  </si>
  <si>
    <t>PV only - 15 years payback</t>
  </si>
  <si>
    <t>PV only - 20 years payback</t>
  </si>
  <si>
    <t>PV only - 25 years payback</t>
  </si>
  <si>
    <t>PV only maxed at baseload - 5 years payback</t>
  </si>
  <si>
    <t>PV only maxed at baseload - 10 years payback</t>
  </si>
  <si>
    <t>PV only maxed at baseload - 15 years payback</t>
  </si>
  <si>
    <t>PV only maxed at baseload - 20 years payback</t>
  </si>
  <si>
    <t>PV only maxed at baseload - 25 years payback</t>
  </si>
  <si>
    <t>threshold_payback</t>
  </si>
  <si>
    <t>payback_years</t>
  </si>
  <si>
    <t>npv</t>
  </si>
  <si>
    <t>lcc</t>
  </si>
  <si>
    <t>lcc_BAU</t>
  </si>
  <si>
    <t>PV_size</t>
  </si>
  <si>
    <t>PV_all_year1_production</t>
  </si>
  <si>
    <t>PV_all_annual_energy_production_avg</t>
  </si>
  <si>
    <t>PV_all_energy_lcoe</t>
  </si>
  <si>
    <t>PV_all_serving_load</t>
  </si>
  <si>
    <t>PV_all_energy_exported</t>
  </si>
  <si>
    <t>PV_all_energy_curtailed</t>
  </si>
  <si>
    <t>PV_all_energy_to_Battery_year1</t>
  </si>
  <si>
    <t>Battery_size_kw</t>
  </si>
  <si>
    <t>Battery_size_kwh</t>
  </si>
  <si>
    <t>Grid_Electricity_Supplied_kWh_annual</t>
  </si>
  <si>
    <t>Grid_Electricity_Supplied_kWh_annual_bau</t>
  </si>
  <si>
    <t>LifeCycle_Emission_Reduction_Fraction</t>
  </si>
  <si>
    <t>LifeCycle_capex_costs_for_generation_techs</t>
  </si>
  <si>
    <t>LifeCycle_capex_costs_for_battery</t>
  </si>
  <si>
    <t>Initial_upfront_capex_wo_incentives</t>
  </si>
  <si>
    <t>Initial_upfront_capex_w_incentives</t>
  </si>
  <si>
    <t>Initial_upfront_battery_capex</t>
  </si>
  <si>
    <t>Present_cost_of_replacement_battery_after_tax</t>
  </si>
  <si>
    <t>Year1_lifecycle_costs_om_before_tax</t>
  </si>
  <si>
    <t>Yr1_energy_cost_after_tax</t>
  </si>
  <si>
    <t>Yr1_demand_cost_after_tax</t>
  </si>
  <si>
    <t>Yr1_total_energy_bill_before_tax</t>
  </si>
  <si>
    <t>Year1_elec_bill_before_tax_bau</t>
  </si>
  <si>
    <t>Yr1_export_benefit_before_tax</t>
  </si>
  <si>
    <t>Yr1_total_operating_cost_before_tax</t>
  </si>
  <si>
    <t>IRR</t>
  </si>
  <si>
    <t>NA</t>
  </si>
  <si>
    <t>Getting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</si>
</sst>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_(&quot;$&quot;* #,##0.0000_);_(&quot;$&quot;* \(#,##0.0000\);_(&quot;$&quot;* &quot;-&quot;??_);_(@_)"/>
    <numFmt numFmtId="167" formatCode="_(* #,##0.0_);_(* \(#,##0.0\);_(* &quot;-&quot;??_);_(@_)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/>
    <xf numFmtId="43" fontId="0" fillId="0" borderId="0" xfId="1" applyFont="1" applyAlignment="1">
      <alignment wrapText="1"/>
    </xf>
    <xf numFmtId="43" fontId="0" fillId="0" borderId="0" xfId="1" applyFont="1"/>
    <xf numFmtId="165" fontId="0" fillId="0" borderId="0" xfId="1" applyNumberFormat="1" applyFont="1" applyAlignment="1">
      <alignment wrapText="1"/>
    </xf>
    <xf numFmtId="165" fontId="0" fillId="0" borderId="0" xfId="1" applyNumberFormat="1" applyFont="1"/>
    <xf numFmtId="166" fontId="0" fillId="0" borderId="0" xfId="2" applyNumberFormat="1" applyFont="1" applyAlignment="1">
      <alignment wrapText="1"/>
    </xf>
    <xf numFmtId="166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43" fontId="0" fillId="0" borderId="1" xfId="1" applyFont="1" applyBorder="1"/>
    <xf numFmtId="165" fontId="0" fillId="0" borderId="1" xfId="1" applyNumberFormat="1" applyFont="1" applyBorder="1"/>
    <xf numFmtId="166" fontId="0" fillId="0" borderId="1" xfId="2" applyNumberFormat="1" applyFont="1" applyBorder="1"/>
    <xf numFmtId="167" fontId="0" fillId="0" borderId="0" xfId="1" applyNumberFormat="1" applyFont="1" applyAlignment="1">
      <alignment wrapText="1"/>
    </xf>
    <xf numFmtId="167" fontId="0" fillId="0" borderId="0" xfId="1" applyNumberFormat="1" applyFont="1"/>
    <xf numFmtId="167" fontId="0" fillId="0" borderId="1" xfId="1" applyNumberFormat="1" applyFont="1" applyBorder="1"/>
    <xf numFmtId="0" fontId="0" fillId="0" borderId="1" xfId="0" applyBorder="1" applyAlignment="1">
      <alignment wrapText="1"/>
    </xf>
    <xf numFmtId="44" fontId="0" fillId="0" borderId="0" xfId="2" applyFont="1" applyAlignment="1">
      <alignment wrapText="1"/>
    </xf>
    <xf numFmtId="44" fontId="0" fillId="0" borderId="0" xfId="2" applyFont="1"/>
    <xf numFmtId="44" fontId="0" fillId="0" borderId="0" xfId="0" applyNumberFormat="1"/>
    <xf numFmtId="44" fontId="0" fillId="0" borderId="1" xfId="0" applyNumberFormat="1" applyBorder="1"/>
    <xf numFmtId="44" fontId="0" fillId="0" borderId="1" xfId="2" applyFont="1" applyBorder="1"/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3ABC-5B6F-4AB0-8F3E-105C4146221A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9FCE6-F619-40B3-BCC6-22AAC0287BCF}">
  <dimension ref="A1:AG11"/>
  <sheetViews>
    <sheetView workbookViewId="0">
      <selection activeCell="G3" sqref="G3"/>
    </sheetView>
  </sheetViews>
  <sheetFormatPr defaultColWidth="11" defaultRowHeight="15.75" x14ac:dyDescent="0.25"/>
  <cols>
    <col min="1" max="1" width="22.625" customWidth="1"/>
    <col min="5" max="5" width="13.75" style="3" bestFit="1" customWidth="1"/>
    <col min="7" max="7" width="11" style="5"/>
    <col min="8" max="9" width="12.625" style="7" bestFit="1" customWidth="1"/>
    <col min="10" max="10" width="11" style="9"/>
    <col min="11" max="11" width="11" style="16"/>
    <col min="13" max="13" width="11" style="7"/>
    <col min="22" max="24" width="13.75" style="3" bestFit="1" customWidth="1"/>
    <col min="26" max="29" width="12.125" style="3" bestFit="1" customWidth="1"/>
    <col min="32" max="32" width="12.125" style="3" bestFit="1" customWidth="1"/>
  </cols>
  <sheetData>
    <row r="1" spans="1:33" s="1" customFormat="1" ht="78.75" customHeight="1" x14ac:dyDescent="0.25">
      <c r="A1" s="1" t="s">
        <v>64</v>
      </c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4" t="s">
        <v>5</v>
      </c>
      <c r="H1" s="6" t="s">
        <v>6</v>
      </c>
      <c r="I1" s="6" t="s">
        <v>7</v>
      </c>
      <c r="J1" s="8" t="s">
        <v>8</v>
      </c>
      <c r="K1" s="15" t="s">
        <v>9</v>
      </c>
      <c r="L1" s="1" t="s">
        <v>10</v>
      </c>
      <c r="M1" s="6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2" t="s">
        <v>20</v>
      </c>
      <c r="W1" s="2" t="s">
        <v>21</v>
      </c>
      <c r="X1" s="2" t="s">
        <v>22</v>
      </c>
      <c r="Y1" s="1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1" t="s">
        <v>28</v>
      </c>
      <c r="AE1" s="1" t="s">
        <v>29</v>
      </c>
      <c r="AF1" s="2" t="s">
        <v>30</v>
      </c>
      <c r="AG1" s="1" t="s">
        <v>31</v>
      </c>
    </row>
    <row r="2" spans="1:33" x14ac:dyDescent="0.25">
      <c r="A2" t="s">
        <v>65</v>
      </c>
      <c r="B2">
        <v>5</v>
      </c>
      <c r="C2">
        <v>0</v>
      </c>
      <c r="D2">
        <v>0</v>
      </c>
      <c r="E2" s="3">
        <v>6215044.21</v>
      </c>
      <c r="F2">
        <v>0</v>
      </c>
      <c r="G2" s="5">
        <v>8.6E-3</v>
      </c>
      <c r="H2" s="7">
        <v>12</v>
      </c>
      <c r="I2" s="7">
        <v>11</v>
      </c>
      <c r="J2" s="9">
        <v>8.2000000000000003E-2</v>
      </c>
      <c r="K2" s="16">
        <v>2.8812500000000005</v>
      </c>
      <c r="L2">
        <v>0</v>
      </c>
      <c r="M2" s="7">
        <v>0</v>
      </c>
      <c r="N2">
        <v>0</v>
      </c>
      <c r="O2">
        <v>0</v>
      </c>
      <c r="P2">
        <v>0</v>
      </c>
      <c r="Q2">
        <v>1825056</v>
      </c>
      <c r="R2">
        <v>0</v>
      </c>
      <c r="S2">
        <v>0</v>
      </c>
      <c r="T2">
        <v>9.24</v>
      </c>
      <c r="U2">
        <v>0</v>
      </c>
      <c r="V2" s="3">
        <v>12.87</v>
      </c>
      <c r="W2" s="3">
        <v>9.24</v>
      </c>
      <c r="X2" s="3">
        <v>0</v>
      </c>
      <c r="Y2">
        <v>0</v>
      </c>
      <c r="Z2" s="3">
        <v>0.1545</v>
      </c>
      <c r="AA2" s="3">
        <v>219006.71</v>
      </c>
      <c r="AB2" s="3">
        <v>200353.85</v>
      </c>
      <c r="AC2" s="3">
        <v>419360.56</v>
      </c>
      <c r="AD2">
        <v>0</v>
      </c>
      <c r="AE2">
        <v>0</v>
      </c>
      <c r="AF2" s="3">
        <v>419360.71</v>
      </c>
      <c r="AG2">
        <v>0</v>
      </c>
    </row>
    <row r="3" spans="1:33" x14ac:dyDescent="0.25">
      <c r="A3" t="s">
        <v>66</v>
      </c>
      <c r="B3">
        <v>10</v>
      </c>
      <c r="C3">
        <v>0</v>
      </c>
      <c r="D3">
        <v>0</v>
      </c>
      <c r="E3" s="3">
        <v>5657835.5800000001</v>
      </c>
      <c r="F3">
        <v>0</v>
      </c>
      <c r="G3" s="5">
        <v>496.89440000000002</v>
      </c>
      <c r="H3" s="7">
        <v>703378</v>
      </c>
      <c r="I3" s="7">
        <v>670227</v>
      </c>
      <c r="J3" s="9">
        <v>8.09E-2</v>
      </c>
      <c r="K3" s="16">
        <v>142695.122</v>
      </c>
      <c r="L3">
        <v>0</v>
      </c>
      <c r="M3" s="7">
        <v>24861.667750000001</v>
      </c>
      <c r="N3">
        <v>0</v>
      </c>
      <c r="O3">
        <v>0</v>
      </c>
      <c r="P3">
        <v>0</v>
      </c>
      <c r="Q3">
        <v>1254287</v>
      </c>
      <c r="R3">
        <v>0</v>
      </c>
      <c r="S3">
        <v>0</v>
      </c>
      <c r="T3">
        <v>534872.34</v>
      </c>
      <c r="U3">
        <v>0</v>
      </c>
      <c r="V3" s="3">
        <v>745341.54</v>
      </c>
      <c r="W3" s="3">
        <v>534872.34</v>
      </c>
      <c r="X3" s="3">
        <v>0</v>
      </c>
      <c r="Y3">
        <v>0</v>
      </c>
      <c r="Z3" s="3">
        <v>8944.0985000000001</v>
      </c>
      <c r="AA3" s="3">
        <v>150514.44</v>
      </c>
      <c r="AB3" s="3">
        <v>185370.56</v>
      </c>
      <c r="AC3" s="3">
        <v>335885</v>
      </c>
      <c r="AD3">
        <v>0</v>
      </c>
      <c r="AE3">
        <v>0</v>
      </c>
      <c r="AF3" s="3">
        <v>344829.1</v>
      </c>
      <c r="AG3">
        <v>0</v>
      </c>
    </row>
    <row r="4" spans="1:33" x14ac:dyDescent="0.25">
      <c r="A4" t="s">
        <v>67</v>
      </c>
      <c r="B4">
        <v>15</v>
      </c>
      <c r="C4">
        <v>0</v>
      </c>
      <c r="D4">
        <v>0</v>
      </c>
      <c r="E4" s="3">
        <v>5878217.6900000004</v>
      </c>
      <c r="F4">
        <v>0</v>
      </c>
      <c r="G4" s="5">
        <v>885.46529999999996</v>
      </c>
      <c r="H4" s="7">
        <v>1253420</v>
      </c>
      <c r="I4" s="7">
        <v>1194344</v>
      </c>
      <c r="J4" s="9">
        <v>8.09E-2</v>
      </c>
      <c r="K4" s="16">
        <v>178864.81475000002</v>
      </c>
      <c r="L4">
        <v>0</v>
      </c>
      <c r="M4" s="7">
        <v>119721.23849999999</v>
      </c>
      <c r="N4">
        <v>0</v>
      </c>
      <c r="O4">
        <v>0</v>
      </c>
      <c r="P4">
        <v>0</v>
      </c>
      <c r="Q4">
        <v>1109608</v>
      </c>
      <c r="R4">
        <v>0</v>
      </c>
      <c r="S4">
        <v>0</v>
      </c>
      <c r="T4">
        <v>953142.08</v>
      </c>
      <c r="U4">
        <v>0</v>
      </c>
      <c r="V4" s="3">
        <v>1328198.01</v>
      </c>
      <c r="W4" s="3">
        <v>953142.08</v>
      </c>
      <c r="X4" s="3">
        <v>0</v>
      </c>
      <c r="Y4">
        <v>0</v>
      </c>
      <c r="Z4" s="3">
        <v>15938.376099999999</v>
      </c>
      <c r="AA4" s="3">
        <v>133152.98000000001</v>
      </c>
      <c r="AB4" s="3">
        <v>181725.32</v>
      </c>
      <c r="AC4" s="3">
        <v>314878.3</v>
      </c>
      <c r="AD4">
        <v>0</v>
      </c>
      <c r="AE4">
        <v>0</v>
      </c>
      <c r="AF4" s="3">
        <v>330816.68</v>
      </c>
      <c r="AG4">
        <v>0</v>
      </c>
    </row>
    <row r="5" spans="1:33" x14ac:dyDescent="0.25">
      <c r="A5" t="s">
        <v>68</v>
      </c>
      <c r="B5">
        <v>20</v>
      </c>
      <c r="C5">
        <v>0</v>
      </c>
      <c r="D5">
        <v>0</v>
      </c>
      <c r="E5" s="3">
        <v>6202988.6299999999</v>
      </c>
      <c r="F5">
        <v>0</v>
      </c>
      <c r="G5" s="5">
        <v>1218.0920000000001</v>
      </c>
      <c r="H5" s="7">
        <v>1724269</v>
      </c>
      <c r="I5" s="7">
        <v>1643002</v>
      </c>
      <c r="J5" s="9">
        <v>8.09E-2</v>
      </c>
      <c r="K5" s="16">
        <v>192439.98800000001</v>
      </c>
      <c r="L5">
        <v>0</v>
      </c>
      <c r="M5" s="7">
        <v>218310.4535</v>
      </c>
      <c r="N5">
        <v>0</v>
      </c>
      <c r="O5">
        <v>0</v>
      </c>
      <c r="P5">
        <v>0</v>
      </c>
      <c r="Q5">
        <v>1055308</v>
      </c>
      <c r="R5">
        <v>0</v>
      </c>
      <c r="S5">
        <v>0</v>
      </c>
      <c r="T5">
        <v>1311191.6000000001</v>
      </c>
      <c r="U5">
        <v>0</v>
      </c>
      <c r="V5" s="3">
        <v>1827137.97</v>
      </c>
      <c r="W5" s="3">
        <v>1311191.6000000001</v>
      </c>
      <c r="X5" s="3">
        <v>0</v>
      </c>
      <c r="Y5">
        <v>0</v>
      </c>
      <c r="Z5" s="3">
        <v>21925.655599999998</v>
      </c>
      <c r="AA5" s="3">
        <v>126636.9</v>
      </c>
      <c r="AB5" s="3">
        <v>179443.74</v>
      </c>
      <c r="AC5" s="3">
        <v>306080.64000000001</v>
      </c>
      <c r="AD5">
        <v>0</v>
      </c>
      <c r="AE5">
        <v>0</v>
      </c>
      <c r="AF5" s="3">
        <v>328006.3</v>
      </c>
      <c r="AG5">
        <v>0</v>
      </c>
    </row>
    <row r="6" spans="1:33" s="10" customFormat="1" x14ac:dyDescent="0.25">
      <c r="A6" s="10" t="s">
        <v>69</v>
      </c>
      <c r="B6" s="10">
        <v>25</v>
      </c>
      <c r="C6" s="10">
        <v>0</v>
      </c>
      <c r="D6" s="10">
        <v>0</v>
      </c>
      <c r="E6" s="11">
        <v>6537818.3799999999</v>
      </c>
      <c r="F6" s="10">
        <v>0</v>
      </c>
      <c r="G6" s="12">
        <v>1519.6361999999999</v>
      </c>
      <c r="H6" s="13">
        <v>2151120</v>
      </c>
      <c r="I6" s="13">
        <v>2049735</v>
      </c>
      <c r="J6" s="14">
        <v>8.09E-2</v>
      </c>
      <c r="K6" s="17">
        <v>200376.00024999998</v>
      </c>
      <c r="L6" s="10">
        <v>0</v>
      </c>
      <c r="M6" s="13">
        <v>312057.5895</v>
      </c>
      <c r="N6" s="10">
        <v>0</v>
      </c>
      <c r="O6" s="10">
        <v>0</v>
      </c>
      <c r="P6" s="10">
        <v>0</v>
      </c>
      <c r="Q6" s="10">
        <v>1023563</v>
      </c>
      <c r="R6" s="10">
        <v>0</v>
      </c>
      <c r="S6" s="10">
        <v>0</v>
      </c>
      <c r="T6" s="10">
        <v>1635783.1</v>
      </c>
      <c r="U6" s="10">
        <v>0</v>
      </c>
      <c r="V6" s="11">
        <v>2279454.36</v>
      </c>
      <c r="W6" s="11">
        <v>1635783.1</v>
      </c>
      <c r="X6" s="11">
        <v>0</v>
      </c>
      <c r="Y6" s="10">
        <v>0</v>
      </c>
      <c r="Z6" s="11">
        <v>27353.452399999998</v>
      </c>
      <c r="AA6" s="11">
        <v>122827.61</v>
      </c>
      <c r="AB6" s="11">
        <v>178003.95</v>
      </c>
      <c r="AC6" s="11">
        <v>300831.56</v>
      </c>
      <c r="AD6" s="10">
        <v>0</v>
      </c>
      <c r="AE6" s="10">
        <v>0</v>
      </c>
      <c r="AF6" s="11">
        <v>328185.01</v>
      </c>
      <c r="AG6" s="10">
        <v>0</v>
      </c>
    </row>
    <row r="7" spans="1:33" x14ac:dyDescent="0.25">
      <c r="A7" t="s">
        <v>65</v>
      </c>
      <c r="B7">
        <v>5</v>
      </c>
      <c r="C7">
        <v>0</v>
      </c>
      <c r="D7">
        <v>0</v>
      </c>
      <c r="E7" s="3">
        <v>6215044.21</v>
      </c>
      <c r="F7">
        <v>0</v>
      </c>
      <c r="G7" s="5">
        <v>8.6E-3</v>
      </c>
      <c r="H7" s="7">
        <v>12</v>
      </c>
      <c r="I7" s="7">
        <v>11</v>
      </c>
      <c r="J7" s="9">
        <v>8.2000000000000003E-2</v>
      </c>
      <c r="K7" s="16">
        <v>2.8812500000000005</v>
      </c>
      <c r="L7">
        <v>0</v>
      </c>
      <c r="M7" s="7">
        <v>0</v>
      </c>
      <c r="N7">
        <v>0</v>
      </c>
      <c r="O7">
        <v>0</v>
      </c>
      <c r="P7">
        <v>0</v>
      </c>
      <c r="Q7">
        <v>1825056</v>
      </c>
      <c r="R7">
        <v>0</v>
      </c>
      <c r="S7">
        <v>0</v>
      </c>
      <c r="T7">
        <v>9.24</v>
      </c>
      <c r="U7">
        <v>0</v>
      </c>
      <c r="V7" s="3">
        <v>12.87</v>
      </c>
      <c r="W7" s="3">
        <v>9.24</v>
      </c>
      <c r="X7" s="3">
        <v>0</v>
      </c>
      <c r="Y7">
        <v>0</v>
      </c>
      <c r="Z7" s="3">
        <v>0.1545</v>
      </c>
      <c r="AA7" s="3">
        <v>219006.71</v>
      </c>
      <c r="AB7" s="3">
        <v>200353.85</v>
      </c>
      <c r="AC7" s="3">
        <v>419360.56</v>
      </c>
      <c r="AD7">
        <v>0</v>
      </c>
      <c r="AE7">
        <v>0</v>
      </c>
      <c r="AF7" s="3">
        <v>419360.71</v>
      </c>
      <c r="AG7">
        <v>0</v>
      </c>
    </row>
    <row r="8" spans="1:33" x14ac:dyDescent="0.25">
      <c r="A8" t="s">
        <v>66</v>
      </c>
      <c r="B8">
        <v>10</v>
      </c>
      <c r="C8">
        <v>0</v>
      </c>
      <c r="D8">
        <v>0</v>
      </c>
      <c r="E8" s="3">
        <v>5657835.5800000001</v>
      </c>
      <c r="F8">
        <v>0</v>
      </c>
      <c r="G8" s="5">
        <v>496.89440000000002</v>
      </c>
      <c r="H8" s="7">
        <v>703378</v>
      </c>
      <c r="I8" s="7">
        <v>670227</v>
      </c>
      <c r="J8" s="9">
        <v>8.09E-2</v>
      </c>
      <c r="K8" s="16">
        <v>142695.122</v>
      </c>
      <c r="L8">
        <v>0</v>
      </c>
      <c r="M8" s="7">
        <v>24861.667750000001</v>
      </c>
      <c r="N8">
        <v>0</v>
      </c>
      <c r="O8">
        <v>0</v>
      </c>
      <c r="P8">
        <v>0</v>
      </c>
      <c r="Q8">
        <v>1254287</v>
      </c>
      <c r="R8">
        <v>0</v>
      </c>
      <c r="S8">
        <v>0</v>
      </c>
      <c r="T8">
        <v>534872.34</v>
      </c>
      <c r="U8">
        <v>0</v>
      </c>
      <c r="V8" s="3">
        <v>745341.54</v>
      </c>
      <c r="W8" s="3">
        <v>534872.34</v>
      </c>
      <c r="X8" s="3">
        <v>0</v>
      </c>
      <c r="Y8">
        <v>0</v>
      </c>
      <c r="Z8" s="3">
        <v>8944.0985000000001</v>
      </c>
      <c r="AA8" s="3">
        <v>150514.44</v>
      </c>
      <c r="AB8" s="3">
        <v>185370.56</v>
      </c>
      <c r="AC8" s="3">
        <v>335885</v>
      </c>
      <c r="AD8">
        <v>0</v>
      </c>
      <c r="AE8">
        <v>0</v>
      </c>
      <c r="AF8" s="3">
        <v>344829.1</v>
      </c>
      <c r="AG8">
        <v>0</v>
      </c>
    </row>
    <row r="9" spans="1:33" x14ac:dyDescent="0.25">
      <c r="A9" t="s">
        <v>67</v>
      </c>
      <c r="B9">
        <v>15</v>
      </c>
      <c r="C9">
        <v>0</v>
      </c>
      <c r="D9">
        <v>0</v>
      </c>
      <c r="E9" s="3">
        <v>5331130.97</v>
      </c>
      <c r="F9">
        <v>0</v>
      </c>
      <c r="G9" s="5">
        <v>1106.5083999999999</v>
      </c>
      <c r="H9" s="7">
        <v>1566317</v>
      </c>
      <c r="I9" s="7">
        <v>1492494</v>
      </c>
      <c r="J9" s="9">
        <v>8.09E-2</v>
      </c>
      <c r="K9" s="16">
        <v>184991.43549999999</v>
      </c>
      <c r="L9">
        <v>0</v>
      </c>
      <c r="M9" s="7">
        <v>23595.942999999999</v>
      </c>
      <c r="N9">
        <v>164536.16425000003</v>
      </c>
      <c r="O9">
        <v>392.63</v>
      </c>
      <c r="P9">
        <v>5392.67</v>
      </c>
      <c r="Q9">
        <v>492931</v>
      </c>
      <c r="R9">
        <v>0</v>
      </c>
      <c r="S9">
        <v>0</v>
      </c>
      <c r="T9">
        <v>1191079.6100000001</v>
      </c>
      <c r="U9">
        <v>1411217.21</v>
      </c>
      <c r="V9" s="3">
        <v>3626285.51</v>
      </c>
      <c r="W9" s="3">
        <v>2602296.8199999998</v>
      </c>
      <c r="X9" s="3">
        <v>1966526.35</v>
      </c>
      <c r="Y9">
        <v>0</v>
      </c>
      <c r="Z9" s="3">
        <v>69080.224100000007</v>
      </c>
      <c r="AA9" s="3">
        <v>59151.72</v>
      </c>
      <c r="AB9" s="3">
        <v>49378.97</v>
      </c>
      <c r="AC9" s="3">
        <v>108530.69</v>
      </c>
      <c r="AD9">
        <v>0</v>
      </c>
      <c r="AE9">
        <v>0</v>
      </c>
      <c r="AF9" s="3">
        <v>177610.91</v>
      </c>
      <c r="AG9">
        <v>0</v>
      </c>
    </row>
    <row r="10" spans="1:33" x14ac:dyDescent="0.25">
      <c r="A10" t="s">
        <v>68</v>
      </c>
      <c r="B10">
        <v>20</v>
      </c>
      <c r="C10">
        <v>0</v>
      </c>
      <c r="D10">
        <v>0</v>
      </c>
      <c r="E10" s="3">
        <v>6237320.7599999998</v>
      </c>
      <c r="F10">
        <v>0</v>
      </c>
      <c r="G10" s="5">
        <v>1214.8742</v>
      </c>
      <c r="H10" s="7">
        <v>1719714</v>
      </c>
      <c r="I10" s="7">
        <v>1638661</v>
      </c>
      <c r="J10" s="9">
        <v>8.09E-2</v>
      </c>
      <c r="K10" s="16">
        <v>187808.23175000001</v>
      </c>
      <c r="L10">
        <v>0</v>
      </c>
      <c r="M10" s="7">
        <v>32937.380499999999</v>
      </c>
      <c r="N10">
        <v>188919.74724999999</v>
      </c>
      <c r="O10">
        <v>448.52</v>
      </c>
      <c r="P10">
        <v>9128.5300000000007</v>
      </c>
      <c r="Q10">
        <v>392897</v>
      </c>
      <c r="R10">
        <v>0</v>
      </c>
      <c r="S10">
        <v>0</v>
      </c>
      <c r="T10">
        <v>1307727.8500000001</v>
      </c>
      <c r="U10">
        <v>2128323</v>
      </c>
      <c r="V10" s="3">
        <v>4788116.8499999996</v>
      </c>
      <c r="W10" s="3">
        <v>3436050.84</v>
      </c>
      <c r="X10" s="3">
        <v>2965800.45</v>
      </c>
      <c r="Y10">
        <v>0</v>
      </c>
      <c r="Z10" s="3">
        <v>96012.875</v>
      </c>
      <c r="AA10" s="3">
        <v>47147.65</v>
      </c>
      <c r="AB10" s="3">
        <v>36796.92</v>
      </c>
      <c r="AC10" s="3">
        <v>83944.57</v>
      </c>
      <c r="AD10">
        <v>0</v>
      </c>
      <c r="AE10">
        <v>0</v>
      </c>
      <c r="AF10" s="3">
        <v>179957.44</v>
      </c>
      <c r="AG10">
        <v>0</v>
      </c>
    </row>
    <row r="11" spans="1:33" x14ac:dyDescent="0.25">
      <c r="A11" t="s">
        <v>69</v>
      </c>
      <c r="B11">
        <v>25</v>
      </c>
      <c r="C11">
        <v>0</v>
      </c>
      <c r="D11">
        <v>0</v>
      </c>
      <c r="E11" s="3">
        <v>7105338.29</v>
      </c>
      <c r="F11">
        <v>0</v>
      </c>
      <c r="G11" s="5">
        <v>1305.7005999999999</v>
      </c>
      <c r="H11" s="7">
        <v>1848283</v>
      </c>
      <c r="I11" s="7">
        <v>1761171</v>
      </c>
      <c r="J11" s="9">
        <v>8.09E-2</v>
      </c>
      <c r="K11" s="16">
        <v>190509.74275</v>
      </c>
      <c r="L11">
        <v>0</v>
      </c>
      <c r="M11" s="7">
        <v>45374.025499999996</v>
      </c>
      <c r="N11">
        <v>204409.00625000001</v>
      </c>
      <c r="O11">
        <v>499.53</v>
      </c>
      <c r="P11">
        <v>12375.06</v>
      </c>
      <c r="Q11">
        <v>325911</v>
      </c>
      <c r="R11">
        <v>0</v>
      </c>
      <c r="S11">
        <v>0</v>
      </c>
      <c r="T11">
        <v>1405496.23</v>
      </c>
      <c r="U11">
        <v>2753184.73</v>
      </c>
      <c r="V11" s="3">
        <v>5795097.6699999999</v>
      </c>
      <c r="W11" s="3">
        <v>4158680.96</v>
      </c>
      <c r="X11" s="3">
        <v>3836550.22</v>
      </c>
      <c r="Y11">
        <v>0</v>
      </c>
      <c r="Z11" s="3">
        <v>119416.2797</v>
      </c>
      <c r="AA11" s="3">
        <v>39109.31</v>
      </c>
      <c r="AB11" s="3">
        <v>29033.79</v>
      </c>
      <c r="AC11" s="3">
        <v>68143.100000000006</v>
      </c>
      <c r="AD11">
        <v>0</v>
      </c>
      <c r="AE11">
        <v>0</v>
      </c>
      <c r="AF11" s="3">
        <v>187559.38</v>
      </c>
      <c r="AG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92CCE-0691-4DD5-B06E-51F7D340789A}">
  <dimension ref="A1:AG11"/>
  <sheetViews>
    <sheetView workbookViewId="0">
      <selection sqref="A1:A1048576"/>
    </sheetView>
  </sheetViews>
  <sheetFormatPr defaultColWidth="10.625" defaultRowHeight="15.75" x14ac:dyDescent="0.25"/>
  <cols>
    <col min="1" max="1" width="22.625" style="1" customWidth="1"/>
    <col min="5" max="5" width="13.5" style="3" bestFit="1" customWidth="1"/>
    <col min="8" max="9" width="10.875" style="7" bestFit="1" customWidth="1"/>
    <col min="11" max="11" width="10.625" style="7"/>
    <col min="13" max="13" width="10.625" style="7"/>
    <col min="17" max="17" width="12.375" style="7" bestFit="1" customWidth="1"/>
    <col min="32" max="32" width="11.875" style="3" bestFit="1" customWidth="1"/>
  </cols>
  <sheetData>
    <row r="1" spans="1:33" s="1" customFormat="1" ht="77.45" customHeight="1" x14ac:dyDescent="0.25">
      <c r="A1" s="1" t="s">
        <v>64</v>
      </c>
      <c r="B1" s="1" t="s">
        <v>32</v>
      </c>
      <c r="C1" s="1" t="s">
        <v>33</v>
      </c>
      <c r="D1" s="1" t="s">
        <v>34</v>
      </c>
      <c r="E1" s="2" t="s">
        <v>35</v>
      </c>
      <c r="F1" s="1" t="s">
        <v>36</v>
      </c>
      <c r="G1" s="1" t="s">
        <v>37</v>
      </c>
      <c r="H1" s="6" t="s">
        <v>38</v>
      </c>
      <c r="I1" s="6" t="s">
        <v>39</v>
      </c>
      <c r="J1" s="1" t="s">
        <v>40</v>
      </c>
      <c r="K1" s="6" t="s">
        <v>41</v>
      </c>
      <c r="L1" s="1" t="s">
        <v>42</v>
      </c>
      <c r="M1" s="6" t="s">
        <v>43</v>
      </c>
      <c r="N1" s="1" t="s">
        <v>44</v>
      </c>
      <c r="O1" s="1" t="s">
        <v>45</v>
      </c>
      <c r="P1" s="1" t="s">
        <v>46</v>
      </c>
      <c r="Q1" s="6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2" t="s">
        <v>62</v>
      </c>
      <c r="AG1" s="1" t="s">
        <v>63</v>
      </c>
    </row>
    <row r="2" spans="1:33" ht="30" customHeight="1" x14ac:dyDescent="0.25">
      <c r="A2" s="1" t="s">
        <v>70</v>
      </c>
      <c r="B2">
        <v>5</v>
      </c>
      <c r="C2">
        <v>0</v>
      </c>
      <c r="D2">
        <v>0</v>
      </c>
      <c r="E2" s="3">
        <v>6215044.21</v>
      </c>
      <c r="F2">
        <v>0</v>
      </c>
      <c r="G2">
        <v>8.6E-3</v>
      </c>
      <c r="H2" s="7">
        <v>12</v>
      </c>
      <c r="I2" s="7">
        <v>11</v>
      </c>
      <c r="J2">
        <v>8.2000000000000003E-2</v>
      </c>
      <c r="K2" s="7">
        <v>2.8812500000000005</v>
      </c>
      <c r="L2">
        <v>0</v>
      </c>
      <c r="M2" s="7">
        <v>0</v>
      </c>
      <c r="N2">
        <v>0</v>
      </c>
      <c r="O2">
        <v>0</v>
      </c>
      <c r="P2">
        <v>0</v>
      </c>
      <c r="Q2" s="7">
        <v>1825056</v>
      </c>
      <c r="R2">
        <v>0</v>
      </c>
      <c r="S2">
        <v>0</v>
      </c>
      <c r="T2">
        <v>9.24</v>
      </c>
      <c r="U2">
        <v>0</v>
      </c>
      <c r="V2">
        <v>12.87</v>
      </c>
      <c r="W2">
        <v>9.24</v>
      </c>
      <c r="X2">
        <v>0</v>
      </c>
      <c r="Y2">
        <v>0</v>
      </c>
      <c r="Z2">
        <v>0.1545</v>
      </c>
      <c r="AA2">
        <v>219006.71</v>
      </c>
      <c r="AB2">
        <v>200353.85</v>
      </c>
      <c r="AC2">
        <v>419360.56</v>
      </c>
      <c r="AD2">
        <v>0</v>
      </c>
      <c r="AE2">
        <v>0</v>
      </c>
      <c r="AF2" s="3">
        <v>419360.71</v>
      </c>
      <c r="AG2">
        <v>0</v>
      </c>
    </row>
    <row r="3" spans="1:33" ht="30" customHeight="1" x14ac:dyDescent="0.25">
      <c r="A3" s="1" t="s">
        <v>71</v>
      </c>
      <c r="B3">
        <v>10</v>
      </c>
      <c r="C3">
        <v>0</v>
      </c>
      <c r="D3">
        <v>0</v>
      </c>
      <c r="E3" s="3">
        <v>5928617.6699999999</v>
      </c>
      <c r="F3">
        <v>0</v>
      </c>
      <c r="G3">
        <v>156.6326</v>
      </c>
      <c r="H3" s="7">
        <v>221721</v>
      </c>
      <c r="I3" s="7">
        <v>211271</v>
      </c>
      <c r="J3">
        <v>8.09E-2</v>
      </c>
      <c r="K3" s="7">
        <v>52382.643750000003</v>
      </c>
      <c r="L3">
        <v>0</v>
      </c>
      <c r="M3" s="7">
        <v>435.13124999999997</v>
      </c>
      <c r="N3">
        <v>0</v>
      </c>
      <c r="O3">
        <v>0</v>
      </c>
      <c r="P3">
        <v>0</v>
      </c>
      <c r="Q3" s="7">
        <v>1615537</v>
      </c>
      <c r="R3">
        <v>0</v>
      </c>
      <c r="S3">
        <v>0</v>
      </c>
      <c r="T3">
        <v>168604.14</v>
      </c>
      <c r="U3">
        <v>0</v>
      </c>
      <c r="V3">
        <v>234948.9</v>
      </c>
      <c r="W3">
        <v>168604.14</v>
      </c>
      <c r="X3">
        <v>0</v>
      </c>
      <c r="Y3">
        <v>0</v>
      </c>
      <c r="Z3">
        <v>2819.3868000000002</v>
      </c>
      <c r="AA3">
        <v>193864.43</v>
      </c>
      <c r="AB3">
        <v>191708.24</v>
      </c>
      <c r="AC3">
        <v>385572.67</v>
      </c>
      <c r="AD3">
        <v>0</v>
      </c>
      <c r="AE3">
        <v>0</v>
      </c>
      <c r="AF3" s="3">
        <v>388392.06</v>
      </c>
      <c r="AG3">
        <v>0</v>
      </c>
    </row>
    <row r="4" spans="1:33" ht="30" customHeight="1" x14ac:dyDescent="0.25">
      <c r="A4" s="1" t="s">
        <v>72</v>
      </c>
      <c r="B4">
        <v>15</v>
      </c>
      <c r="C4">
        <v>0</v>
      </c>
      <c r="D4">
        <v>0</v>
      </c>
      <c r="E4" s="3">
        <v>5928617.6699999999</v>
      </c>
      <c r="F4">
        <v>0</v>
      </c>
      <c r="G4">
        <v>156.6326</v>
      </c>
      <c r="H4" s="7">
        <v>221721</v>
      </c>
      <c r="I4" s="7">
        <v>211271</v>
      </c>
      <c r="J4">
        <v>8.09E-2</v>
      </c>
      <c r="K4" s="7">
        <v>52382.643750000003</v>
      </c>
      <c r="L4">
        <v>0</v>
      </c>
      <c r="M4" s="7">
        <v>435.13124999999997</v>
      </c>
      <c r="N4">
        <v>0</v>
      </c>
      <c r="O4">
        <v>0</v>
      </c>
      <c r="P4">
        <v>0</v>
      </c>
      <c r="Q4" s="7">
        <v>1615537</v>
      </c>
      <c r="R4">
        <v>0</v>
      </c>
      <c r="S4">
        <v>0</v>
      </c>
      <c r="T4">
        <v>168604.14</v>
      </c>
      <c r="U4">
        <v>0</v>
      </c>
      <c r="V4">
        <v>234948.9</v>
      </c>
      <c r="W4">
        <v>168604.14</v>
      </c>
      <c r="X4">
        <v>0</v>
      </c>
      <c r="Y4">
        <v>0</v>
      </c>
      <c r="Z4">
        <v>2819.3868000000002</v>
      </c>
      <c r="AA4">
        <v>193864.43</v>
      </c>
      <c r="AB4">
        <v>191708.24</v>
      </c>
      <c r="AC4">
        <v>385572.67</v>
      </c>
      <c r="AD4">
        <v>0</v>
      </c>
      <c r="AE4">
        <v>0</v>
      </c>
      <c r="AF4" s="3">
        <v>388392.06</v>
      </c>
      <c r="AG4">
        <v>0</v>
      </c>
    </row>
    <row r="5" spans="1:33" ht="30" customHeight="1" x14ac:dyDescent="0.25">
      <c r="A5" s="1" t="s">
        <v>73</v>
      </c>
      <c r="B5">
        <v>20</v>
      </c>
      <c r="C5">
        <v>0</v>
      </c>
      <c r="D5">
        <v>0</v>
      </c>
      <c r="E5" s="3">
        <v>5928617.6699999999</v>
      </c>
      <c r="F5">
        <v>0</v>
      </c>
      <c r="G5">
        <v>156.6326</v>
      </c>
      <c r="H5" s="7">
        <v>221721</v>
      </c>
      <c r="I5" s="7">
        <v>211271</v>
      </c>
      <c r="J5">
        <v>8.09E-2</v>
      </c>
      <c r="K5" s="7">
        <v>52382.643750000003</v>
      </c>
      <c r="L5">
        <v>0</v>
      </c>
      <c r="M5" s="7">
        <v>435.13124999999997</v>
      </c>
      <c r="N5">
        <v>0</v>
      </c>
      <c r="O5">
        <v>0</v>
      </c>
      <c r="P5">
        <v>0</v>
      </c>
      <c r="Q5" s="7">
        <v>1615537</v>
      </c>
      <c r="R5">
        <v>0</v>
      </c>
      <c r="S5">
        <v>0</v>
      </c>
      <c r="T5">
        <v>168604.14</v>
      </c>
      <c r="U5">
        <v>0</v>
      </c>
      <c r="V5">
        <v>234948.9</v>
      </c>
      <c r="W5">
        <v>168604.14</v>
      </c>
      <c r="X5">
        <v>0</v>
      </c>
      <c r="Y5">
        <v>0</v>
      </c>
      <c r="Z5">
        <v>2819.3868000000002</v>
      </c>
      <c r="AA5">
        <v>193864.43</v>
      </c>
      <c r="AB5">
        <v>191708.24</v>
      </c>
      <c r="AC5">
        <v>385572.67</v>
      </c>
      <c r="AD5">
        <v>0</v>
      </c>
      <c r="AE5">
        <v>0</v>
      </c>
      <c r="AF5" s="3">
        <v>388392.06</v>
      </c>
      <c r="AG5">
        <v>0</v>
      </c>
    </row>
    <row r="6" spans="1:33" s="10" customFormat="1" ht="30" customHeight="1" x14ac:dyDescent="0.25">
      <c r="A6" s="18" t="s">
        <v>74</v>
      </c>
      <c r="B6" s="10">
        <v>25</v>
      </c>
      <c r="C6" s="10">
        <v>0</v>
      </c>
      <c r="D6" s="10">
        <v>0</v>
      </c>
      <c r="E6" s="11">
        <v>5928617.6699999999</v>
      </c>
      <c r="F6" s="10">
        <v>0</v>
      </c>
      <c r="G6" s="10">
        <v>156.6326</v>
      </c>
      <c r="H6" s="13">
        <v>221721</v>
      </c>
      <c r="I6" s="13">
        <v>211271</v>
      </c>
      <c r="J6" s="10">
        <v>8.09E-2</v>
      </c>
      <c r="K6" s="13">
        <v>52382.643750000003</v>
      </c>
      <c r="L6" s="10">
        <v>0</v>
      </c>
      <c r="M6" s="13">
        <v>435.13124999999997</v>
      </c>
      <c r="N6" s="10">
        <v>0</v>
      </c>
      <c r="O6" s="10">
        <v>0</v>
      </c>
      <c r="P6" s="10">
        <v>0</v>
      </c>
      <c r="Q6" s="13">
        <v>1615537</v>
      </c>
      <c r="R6" s="10">
        <v>0</v>
      </c>
      <c r="S6" s="10">
        <v>0</v>
      </c>
      <c r="T6" s="10">
        <v>168604.14</v>
      </c>
      <c r="U6" s="10">
        <v>0</v>
      </c>
      <c r="V6" s="10">
        <v>234948.9</v>
      </c>
      <c r="W6" s="10">
        <v>168604.14</v>
      </c>
      <c r="X6" s="10">
        <v>0</v>
      </c>
      <c r="Y6" s="10">
        <v>0</v>
      </c>
      <c r="Z6" s="10">
        <v>2819.3868000000002</v>
      </c>
      <c r="AA6" s="10">
        <v>193864.43</v>
      </c>
      <c r="AB6" s="10">
        <v>191708.24</v>
      </c>
      <c r="AC6" s="10">
        <v>385572.67</v>
      </c>
      <c r="AD6" s="10">
        <v>0</v>
      </c>
      <c r="AE6" s="10">
        <v>0</v>
      </c>
      <c r="AF6" s="11">
        <v>388392.06</v>
      </c>
      <c r="AG6" s="10">
        <v>0</v>
      </c>
    </row>
    <row r="7" spans="1:33" ht="30" customHeight="1" x14ac:dyDescent="0.25">
      <c r="A7" s="1" t="s">
        <v>70</v>
      </c>
      <c r="B7">
        <v>5</v>
      </c>
      <c r="C7">
        <v>0</v>
      </c>
      <c r="D7">
        <v>0</v>
      </c>
      <c r="E7" s="3">
        <v>6215044.21</v>
      </c>
      <c r="F7">
        <v>0</v>
      </c>
      <c r="G7">
        <v>8.6E-3</v>
      </c>
      <c r="H7" s="7">
        <v>12</v>
      </c>
      <c r="I7" s="7">
        <v>11</v>
      </c>
      <c r="J7">
        <v>8.2000000000000003E-2</v>
      </c>
      <c r="K7" s="7">
        <v>2.8812500000000005</v>
      </c>
      <c r="L7">
        <v>0</v>
      </c>
      <c r="M7" s="7">
        <v>0</v>
      </c>
      <c r="N7">
        <v>0</v>
      </c>
      <c r="O7">
        <v>0</v>
      </c>
      <c r="P7">
        <v>0</v>
      </c>
      <c r="Q7" s="7">
        <v>1825056</v>
      </c>
      <c r="R7">
        <v>0</v>
      </c>
      <c r="S7">
        <v>0</v>
      </c>
      <c r="T7">
        <v>9.24</v>
      </c>
      <c r="U7">
        <v>0</v>
      </c>
      <c r="V7">
        <v>12.87</v>
      </c>
      <c r="W7">
        <v>9.24</v>
      </c>
      <c r="X7">
        <v>0</v>
      </c>
      <c r="Y7">
        <v>0</v>
      </c>
      <c r="Z7">
        <v>0.1545</v>
      </c>
      <c r="AA7">
        <v>219006.71</v>
      </c>
      <c r="AB7">
        <v>200353.85</v>
      </c>
      <c r="AC7">
        <v>419360.56</v>
      </c>
      <c r="AD7">
        <v>0</v>
      </c>
      <c r="AE7">
        <v>0</v>
      </c>
      <c r="AF7" s="3">
        <v>419360.71</v>
      </c>
      <c r="AG7">
        <v>0</v>
      </c>
    </row>
    <row r="8" spans="1:33" ht="30" customHeight="1" x14ac:dyDescent="0.25">
      <c r="A8" s="1" t="s">
        <v>71</v>
      </c>
      <c r="B8">
        <v>10</v>
      </c>
      <c r="C8">
        <v>0</v>
      </c>
      <c r="D8">
        <v>0</v>
      </c>
      <c r="E8" s="3">
        <v>5995789.9100000001</v>
      </c>
      <c r="F8">
        <v>0</v>
      </c>
      <c r="G8">
        <v>156.6326</v>
      </c>
      <c r="H8" s="7">
        <v>221721</v>
      </c>
      <c r="I8" s="7">
        <v>211271</v>
      </c>
      <c r="J8">
        <v>8.09E-2</v>
      </c>
      <c r="K8" s="7">
        <v>52382.643750000003</v>
      </c>
      <c r="L8">
        <v>0</v>
      </c>
      <c r="M8" s="7">
        <v>435.13124999999997</v>
      </c>
      <c r="N8">
        <v>0</v>
      </c>
      <c r="O8">
        <v>61.79</v>
      </c>
      <c r="P8">
        <v>0</v>
      </c>
      <c r="Q8" s="7">
        <v>1615537</v>
      </c>
      <c r="R8">
        <v>0</v>
      </c>
      <c r="S8">
        <v>0</v>
      </c>
      <c r="T8">
        <v>168604.14</v>
      </c>
      <c r="U8">
        <v>42921.25</v>
      </c>
      <c r="V8">
        <v>294759.42</v>
      </c>
      <c r="W8">
        <v>211525.39</v>
      </c>
      <c r="X8">
        <v>0</v>
      </c>
      <c r="Y8">
        <v>0</v>
      </c>
      <c r="Z8">
        <v>4314.6498000000001</v>
      </c>
      <c r="AA8">
        <v>193864.43</v>
      </c>
      <c r="AB8">
        <v>191708.24</v>
      </c>
      <c r="AC8">
        <v>385572.67</v>
      </c>
      <c r="AD8">
        <v>0</v>
      </c>
      <c r="AE8">
        <v>0</v>
      </c>
      <c r="AF8" s="3">
        <v>389887.32</v>
      </c>
      <c r="AG8">
        <v>0</v>
      </c>
    </row>
    <row r="9" spans="1:33" ht="30" customHeight="1" x14ac:dyDescent="0.25">
      <c r="A9" s="1" t="s">
        <v>72</v>
      </c>
      <c r="B9">
        <v>15</v>
      </c>
      <c r="C9">
        <v>0</v>
      </c>
      <c r="D9">
        <v>0</v>
      </c>
      <c r="E9" s="3">
        <v>5874678.6399999997</v>
      </c>
      <c r="F9">
        <v>0</v>
      </c>
      <c r="G9">
        <v>156.6326</v>
      </c>
      <c r="H9" s="7">
        <v>221721</v>
      </c>
      <c r="I9" s="7">
        <v>211271</v>
      </c>
      <c r="J9">
        <v>8.09E-2</v>
      </c>
      <c r="K9" s="7">
        <v>52200.379249999998</v>
      </c>
      <c r="L9">
        <v>0</v>
      </c>
      <c r="M9" s="7">
        <v>0</v>
      </c>
      <c r="N9">
        <v>617.39575000000002</v>
      </c>
      <c r="O9">
        <v>274.97000000000003</v>
      </c>
      <c r="P9">
        <v>2784.23</v>
      </c>
      <c r="Q9" s="7">
        <v>1623604</v>
      </c>
      <c r="R9">
        <v>0</v>
      </c>
      <c r="S9">
        <v>0</v>
      </c>
      <c r="T9">
        <v>168604.14</v>
      </c>
      <c r="U9">
        <v>855901</v>
      </c>
      <c r="V9">
        <v>1427641.95</v>
      </c>
      <c r="W9">
        <v>1024505.14</v>
      </c>
      <c r="X9">
        <v>1192696.1499999999</v>
      </c>
      <c r="Y9">
        <v>0</v>
      </c>
      <c r="Z9">
        <v>32636.713100000001</v>
      </c>
      <c r="AA9">
        <v>194832.49</v>
      </c>
      <c r="AB9">
        <v>96717.95</v>
      </c>
      <c r="AC9">
        <v>291550.44</v>
      </c>
      <c r="AD9">
        <v>0</v>
      </c>
      <c r="AE9">
        <v>0</v>
      </c>
      <c r="AF9" s="3">
        <v>324187.15000000002</v>
      </c>
      <c r="AG9">
        <v>0</v>
      </c>
    </row>
    <row r="10" spans="1:33" ht="30" customHeight="1" x14ac:dyDescent="0.25">
      <c r="A10" s="1" t="s">
        <v>73</v>
      </c>
      <c r="B10">
        <v>20</v>
      </c>
      <c r="C10">
        <v>0</v>
      </c>
      <c r="D10">
        <v>0</v>
      </c>
      <c r="E10" s="3">
        <v>6232478.1600000001</v>
      </c>
      <c r="F10">
        <v>0</v>
      </c>
      <c r="G10">
        <v>156.6326</v>
      </c>
      <c r="H10" s="7">
        <v>221721</v>
      </c>
      <c r="I10" s="7">
        <v>211271</v>
      </c>
      <c r="J10">
        <v>8.09E-2</v>
      </c>
      <c r="K10" s="7">
        <v>52257.521250000005</v>
      </c>
      <c r="L10">
        <v>0</v>
      </c>
      <c r="M10" s="7">
        <v>0</v>
      </c>
      <c r="N10">
        <v>560.25374999999997</v>
      </c>
      <c r="O10">
        <v>320.52999999999997</v>
      </c>
      <c r="P10">
        <v>4375.8500000000004</v>
      </c>
      <c r="Q10" s="7">
        <v>1629084</v>
      </c>
      <c r="R10">
        <v>0</v>
      </c>
      <c r="S10">
        <v>0</v>
      </c>
      <c r="T10">
        <v>168604.14</v>
      </c>
      <c r="U10">
        <v>1176523.29</v>
      </c>
      <c r="V10">
        <v>1874427.21</v>
      </c>
      <c r="W10">
        <v>1345127.43</v>
      </c>
      <c r="X10">
        <v>1639478.09</v>
      </c>
      <c r="Y10">
        <v>0</v>
      </c>
      <c r="Z10">
        <v>43806.344599999997</v>
      </c>
      <c r="AA10">
        <v>195490.08</v>
      </c>
      <c r="AB10">
        <v>86345.42</v>
      </c>
      <c r="AC10">
        <v>281835.5</v>
      </c>
      <c r="AD10">
        <v>0</v>
      </c>
      <c r="AE10">
        <v>0</v>
      </c>
      <c r="AF10" s="3">
        <v>325641.84000000003</v>
      </c>
      <c r="AG10">
        <v>0</v>
      </c>
    </row>
    <row r="11" spans="1:33" ht="30" customHeight="1" x14ac:dyDescent="0.25">
      <c r="A11" s="1" t="s">
        <v>74</v>
      </c>
      <c r="B11">
        <v>25</v>
      </c>
      <c r="C11">
        <v>0</v>
      </c>
      <c r="D11">
        <v>0</v>
      </c>
      <c r="E11" s="3">
        <v>6562219.1100000003</v>
      </c>
      <c r="F11">
        <v>0</v>
      </c>
      <c r="G11">
        <v>156.6326</v>
      </c>
      <c r="H11" s="7">
        <v>221721</v>
      </c>
      <c r="I11" s="7">
        <v>211271</v>
      </c>
      <c r="J11">
        <v>8.09E-2</v>
      </c>
      <c r="K11" s="7">
        <v>52315.915999999997</v>
      </c>
      <c r="L11">
        <v>0</v>
      </c>
      <c r="M11" s="7">
        <v>0</v>
      </c>
      <c r="N11">
        <v>501.85899999999998</v>
      </c>
      <c r="O11">
        <v>323.48</v>
      </c>
      <c r="P11">
        <v>5649.65</v>
      </c>
      <c r="Q11" s="7">
        <v>1630833</v>
      </c>
      <c r="R11">
        <v>0</v>
      </c>
      <c r="S11">
        <v>0</v>
      </c>
      <c r="T11">
        <v>168604.14</v>
      </c>
      <c r="U11">
        <v>1409841.33</v>
      </c>
      <c r="V11">
        <v>2199554.5299999998</v>
      </c>
      <c r="W11">
        <v>1578445.47</v>
      </c>
      <c r="X11">
        <v>1964605.09</v>
      </c>
      <c r="Y11">
        <v>0</v>
      </c>
      <c r="Z11">
        <v>51934.527499999997</v>
      </c>
      <c r="AA11">
        <v>195699.94</v>
      </c>
      <c r="AB11">
        <v>83746.63</v>
      </c>
      <c r="AC11">
        <v>279446.57</v>
      </c>
      <c r="AD11">
        <v>0</v>
      </c>
      <c r="AE11">
        <v>0</v>
      </c>
      <c r="AF11" s="3">
        <v>331381.09999999998</v>
      </c>
      <c r="AG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7E75F-7297-46F3-B28C-81BEAE0D863B}">
  <dimension ref="A1:AF2"/>
  <sheetViews>
    <sheetView workbookViewId="0">
      <selection activeCell="G8" sqref="G8"/>
    </sheetView>
  </sheetViews>
  <sheetFormatPr defaultColWidth="11" defaultRowHeight="15.75" x14ac:dyDescent="0.25"/>
  <sheetData>
    <row r="1" spans="1:32" s="1" customFormat="1" ht="78.75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80</v>
      </c>
      <c r="G1" s="1" t="s">
        <v>81</v>
      </c>
      <c r="H1" s="1" t="s">
        <v>82</v>
      </c>
      <c r="I1" s="1" t="s">
        <v>83</v>
      </c>
      <c r="J1" s="1" t="s">
        <v>84</v>
      </c>
      <c r="K1" s="1" t="s">
        <v>85</v>
      </c>
      <c r="L1" s="1" t="s">
        <v>86</v>
      </c>
      <c r="M1" s="1" t="s">
        <v>87</v>
      </c>
      <c r="N1" s="1" t="s">
        <v>88</v>
      </c>
      <c r="O1" s="1" t="s">
        <v>89</v>
      </c>
      <c r="P1" s="1" t="s">
        <v>90</v>
      </c>
      <c r="Q1" s="1" t="s">
        <v>91</v>
      </c>
      <c r="R1" s="1" t="s">
        <v>92</v>
      </c>
      <c r="S1" s="1" t="s">
        <v>93</v>
      </c>
      <c r="T1" s="1" t="s">
        <v>94</v>
      </c>
      <c r="U1" s="1" t="s">
        <v>95</v>
      </c>
      <c r="V1" s="1" t="s">
        <v>96</v>
      </c>
      <c r="W1" s="1" t="s">
        <v>97</v>
      </c>
      <c r="X1" s="1" t="s">
        <v>98</v>
      </c>
      <c r="Y1" s="1" t="s">
        <v>99</v>
      </c>
      <c r="Z1" s="1" t="s">
        <v>100</v>
      </c>
      <c r="AA1" s="1" t="s">
        <v>101</v>
      </c>
      <c r="AB1" s="1" t="s">
        <v>102</v>
      </c>
      <c r="AC1" s="1" t="s">
        <v>103</v>
      </c>
      <c r="AD1" s="1" t="s">
        <v>104</v>
      </c>
      <c r="AE1" s="1" t="s">
        <v>105</v>
      </c>
      <c r="AF1" s="1" t="s">
        <v>106</v>
      </c>
    </row>
    <row r="2" spans="1:32" x14ac:dyDescent="0.25">
      <c r="A2" t="s">
        <v>107</v>
      </c>
      <c r="B2">
        <v>6.54</v>
      </c>
      <c r="C2">
        <v>557370.56000000006</v>
      </c>
      <c r="D2">
        <v>5657696.1299999999</v>
      </c>
      <c r="E2">
        <v>6215066.6900000004</v>
      </c>
      <c r="F2">
        <v>488.24770000000001</v>
      </c>
      <c r="G2">
        <v>691139</v>
      </c>
      <c r="H2">
        <v>658565</v>
      </c>
      <c r="I2">
        <v>8.09E-2</v>
      </c>
      <c r="J2">
        <v>141323.68099999998</v>
      </c>
      <c r="K2">
        <v>0</v>
      </c>
      <c r="L2">
        <v>23317.376499999998</v>
      </c>
      <c r="M2">
        <v>0</v>
      </c>
      <c r="N2">
        <v>0</v>
      </c>
      <c r="O2">
        <v>0</v>
      </c>
      <c r="P2">
        <v>1259773</v>
      </c>
      <c r="Q2">
        <v>1825067</v>
      </c>
      <c r="R2">
        <v>0.22545449309861595</v>
      </c>
      <c r="S2">
        <v>525564.84</v>
      </c>
      <c r="T2">
        <v>0</v>
      </c>
      <c r="U2">
        <v>732371.58</v>
      </c>
      <c r="V2">
        <v>525564.84</v>
      </c>
      <c r="W2">
        <v>0</v>
      </c>
      <c r="X2">
        <v>0</v>
      </c>
      <c r="Y2">
        <v>8788.4590000000007</v>
      </c>
      <c r="Z2">
        <v>151172.72</v>
      </c>
      <c r="AA2">
        <v>185501.21</v>
      </c>
      <c r="AB2">
        <v>336673.93</v>
      </c>
      <c r="AC2">
        <v>419362.86</v>
      </c>
      <c r="AD2">
        <v>0</v>
      </c>
      <c r="AE2">
        <v>345462.39</v>
      </c>
      <c r="AF2">
        <v>0.14799999999999999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93607-466D-4EF1-9DA9-CA73CB8976DC}">
  <dimension ref="A1:AG12"/>
  <sheetViews>
    <sheetView tabSelected="1" workbookViewId="0">
      <selection activeCell="E16" sqref="E16"/>
    </sheetView>
  </sheetViews>
  <sheetFormatPr defaultColWidth="11" defaultRowHeight="15.75" x14ac:dyDescent="0.25"/>
  <cols>
    <col min="1" max="1" width="22.625" style="1" customWidth="1"/>
    <col min="4" max="4" width="13.75" customWidth="1"/>
    <col min="5" max="5" width="13.75" style="20" bestFit="1" customWidth="1"/>
    <col min="7" max="7" width="8.25" style="7" customWidth="1"/>
    <col min="8" max="9" width="11.875" style="7" customWidth="1"/>
    <col min="10" max="10" width="11" style="9"/>
    <col min="11" max="16" width="11.125" style="7" bestFit="1" customWidth="1"/>
    <col min="17" max="17" width="12.625" style="7" bestFit="1" customWidth="1"/>
    <col min="20" max="32" width="11.125" style="3" customWidth="1"/>
  </cols>
  <sheetData>
    <row r="1" spans="1:33" s="1" customFormat="1" ht="78.75" x14ac:dyDescent="0.25">
      <c r="A1" s="1" t="s">
        <v>64</v>
      </c>
      <c r="B1" s="1" t="s">
        <v>75</v>
      </c>
      <c r="C1" s="1" t="s">
        <v>76</v>
      </c>
      <c r="D1" s="1" t="s">
        <v>77</v>
      </c>
      <c r="E1" s="19" t="s">
        <v>78</v>
      </c>
      <c r="F1" s="1" t="s">
        <v>79</v>
      </c>
      <c r="G1" s="6" t="s">
        <v>80</v>
      </c>
      <c r="H1" s="6" t="s">
        <v>81</v>
      </c>
      <c r="I1" s="6" t="s">
        <v>82</v>
      </c>
      <c r="J1" s="8" t="s">
        <v>83</v>
      </c>
      <c r="K1" s="6" t="s">
        <v>84</v>
      </c>
      <c r="L1" s="6" t="s">
        <v>85</v>
      </c>
      <c r="M1" s="6" t="s">
        <v>86</v>
      </c>
      <c r="N1" s="6" t="s">
        <v>87</v>
      </c>
      <c r="O1" s="6" t="s">
        <v>88</v>
      </c>
      <c r="P1" s="6" t="s">
        <v>89</v>
      </c>
      <c r="Q1" s="6" t="s">
        <v>90</v>
      </c>
      <c r="R1" s="1" t="s">
        <v>91</v>
      </c>
      <c r="S1" s="1" t="s">
        <v>92</v>
      </c>
      <c r="T1" s="2" t="s">
        <v>93</v>
      </c>
      <c r="U1" s="2" t="s">
        <v>94</v>
      </c>
      <c r="V1" s="2" t="s">
        <v>95</v>
      </c>
      <c r="W1" s="2" t="s">
        <v>96</v>
      </c>
      <c r="X1" s="2" t="s">
        <v>97</v>
      </c>
      <c r="Y1" s="2" t="s">
        <v>98</v>
      </c>
      <c r="Z1" s="2" t="s">
        <v>99</v>
      </c>
      <c r="AA1" s="2" t="s">
        <v>100</v>
      </c>
      <c r="AB1" s="2" t="s">
        <v>101</v>
      </c>
      <c r="AC1" s="2" t="s">
        <v>102</v>
      </c>
      <c r="AD1" s="2" t="s">
        <v>103</v>
      </c>
      <c r="AE1" s="2" t="s">
        <v>104</v>
      </c>
      <c r="AF1" s="2" t="s">
        <v>105</v>
      </c>
      <c r="AG1" s="1" t="s">
        <v>106</v>
      </c>
    </row>
    <row r="2" spans="1:33" x14ac:dyDescent="0.25">
      <c r="A2" s="1" t="s">
        <v>108</v>
      </c>
      <c r="B2">
        <v>0</v>
      </c>
      <c r="C2">
        <v>0</v>
      </c>
      <c r="D2">
        <v>0</v>
      </c>
      <c r="E2" s="20">
        <v>6215066.6900000004</v>
      </c>
      <c r="F2">
        <v>0</v>
      </c>
      <c r="G2" s="7">
        <v>0</v>
      </c>
      <c r="H2" s="7">
        <v>0</v>
      </c>
      <c r="I2" s="7">
        <v>0</v>
      </c>
      <c r="J2" s="9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R2" s="7">
        <v>1825067</v>
      </c>
      <c r="S2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219008.09</v>
      </c>
      <c r="AB2" s="3">
        <v>200354.77</v>
      </c>
      <c r="AC2" s="3">
        <v>419362.86</v>
      </c>
      <c r="AD2" s="3">
        <v>0</v>
      </c>
      <c r="AE2" s="3">
        <v>0</v>
      </c>
      <c r="AF2" s="3">
        <v>419362.86</v>
      </c>
      <c r="AG2">
        <v>0</v>
      </c>
    </row>
    <row r="3" spans="1:33" ht="30.75" customHeight="1" x14ac:dyDescent="0.25">
      <c r="A3" s="1" t="s">
        <v>70</v>
      </c>
      <c r="B3">
        <v>5</v>
      </c>
      <c r="C3">
        <v>0</v>
      </c>
      <c r="D3" s="21">
        <f>E2-E3</f>
        <v>22.480000000447035</v>
      </c>
      <c r="E3" s="20">
        <v>6215044.21</v>
      </c>
      <c r="F3">
        <v>0</v>
      </c>
      <c r="G3" s="7">
        <v>8.6E-3</v>
      </c>
      <c r="H3" s="7">
        <v>12</v>
      </c>
      <c r="I3" s="7">
        <v>11</v>
      </c>
      <c r="J3" s="9">
        <v>8.2000000000000003E-2</v>
      </c>
      <c r="K3" s="7">
        <v>2.8812500000000005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1825056</v>
      </c>
      <c r="R3" s="7">
        <v>1825067</v>
      </c>
      <c r="S3">
        <v>0</v>
      </c>
      <c r="T3" s="3">
        <v>9.24</v>
      </c>
      <c r="U3" s="3">
        <v>0</v>
      </c>
      <c r="V3" s="3">
        <v>12.87</v>
      </c>
      <c r="W3" s="3">
        <v>9.24</v>
      </c>
      <c r="X3" s="3">
        <v>0</v>
      </c>
      <c r="Y3" s="3">
        <v>0</v>
      </c>
      <c r="Z3" s="3">
        <v>0.1545</v>
      </c>
      <c r="AA3" s="3">
        <v>219006.71</v>
      </c>
      <c r="AB3" s="3">
        <v>200353.85</v>
      </c>
      <c r="AC3" s="3">
        <v>419360.56</v>
      </c>
      <c r="AD3" s="3">
        <v>0</v>
      </c>
      <c r="AE3" s="3">
        <v>0</v>
      </c>
      <c r="AF3" s="3">
        <v>419360.71</v>
      </c>
      <c r="AG3">
        <v>0</v>
      </c>
    </row>
    <row r="4" spans="1:33" ht="30.75" customHeight="1" x14ac:dyDescent="0.25">
      <c r="A4" s="1" t="s">
        <v>71</v>
      </c>
      <c r="B4">
        <v>10</v>
      </c>
      <c r="C4">
        <v>0</v>
      </c>
      <c r="D4" s="21">
        <f t="shared" ref="D4:D12" si="0">E3-E4</f>
        <v>557208.62999999989</v>
      </c>
      <c r="E4" s="20">
        <v>5657835.5800000001</v>
      </c>
      <c r="F4">
        <v>0</v>
      </c>
      <c r="G4" s="7">
        <v>496.89440000000002</v>
      </c>
      <c r="H4" s="7">
        <v>703378</v>
      </c>
      <c r="I4" s="7">
        <v>670227</v>
      </c>
      <c r="J4" s="9">
        <v>8.09E-2</v>
      </c>
      <c r="K4" s="7">
        <v>142695.122</v>
      </c>
      <c r="L4" s="7">
        <v>0</v>
      </c>
      <c r="M4" s="7">
        <v>24861.667750000001</v>
      </c>
      <c r="N4" s="7">
        <v>0</v>
      </c>
      <c r="O4" s="7">
        <v>0</v>
      </c>
      <c r="P4" s="7">
        <v>0</v>
      </c>
      <c r="Q4" s="7">
        <v>1254287</v>
      </c>
      <c r="R4" s="7">
        <v>1825067</v>
      </c>
      <c r="S4">
        <v>0</v>
      </c>
      <c r="T4" s="3">
        <v>534872.34</v>
      </c>
      <c r="U4" s="3">
        <v>0</v>
      </c>
      <c r="V4" s="3">
        <v>745341.54</v>
      </c>
      <c r="W4" s="3">
        <v>534872.34</v>
      </c>
      <c r="X4" s="3">
        <v>0</v>
      </c>
      <c r="Y4" s="3">
        <v>0</v>
      </c>
      <c r="Z4" s="3">
        <v>8944.0985000000001</v>
      </c>
      <c r="AA4" s="3">
        <v>150514.44</v>
      </c>
      <c r="AB4" s="3">
        <v>185370.56</v>
      </c>
      <c r="AC4" s="3">
        <v>335885</v>
      </c>
      <c r="AD4" s="3">
        <v>0</v>
      </c>
      <c r="AE4" s="3">
        <v>0</v>
      </c>
      <c r="AF4" s="3">
        <v>344829.1</v>
      </c>
      <c r="AG4">
        <v>0</v>
      </c>
    </row>
    <row r="5" spans="1:33" ht="30.75" customHeight="1" x14ac:dyDescent="0.25">
      <c r="A5" s="1" t="s">
        <v>72</v>
      </c>
      <c r="B5">
        <v>15</v>
      </c>
      <c r="C5">
        <v>0</v>
      </c>
      <c r="D5" s="21">
        <f t="shared" si="0"/>
        <v>-220382.11000000034</v>
      </c>
      <c r="E5" s="20">
        <v>5878217.6900000004</v>
      </c>
      <c r="F5">
        <v>0</v>
      </c>
      <c r="G5" s="7">
        <v>885.46529999999996</v>
      </c>
      <c r="H5" s="7">
        <v>1253420</v>
      </c>
      <c r="I5" s="7">
        <v>1194344</v>
      </c>
      <c r="J5" s="9">
        <v>8.09E-2</v>
      </c>
      <c r="K5" s="7">
        <v>178864.81475000002</v>
      </c>
      <c r="L5" s="7">
        <v>0</v>
      </c>
      <c r="M5" s="7">
        <v>119721.23849999999</v>
      </c>
      <c r="N5" s="7">
        <v>0</v>
      </c>
      <c r="O5" s="7">
        <v>0</v>
      </c>
      <c r="P5" s="7">
        <v>0</v>
      </c>
      <c r="Q5" s="7">
        <v>1109608</v>
      </c>
      <c r="R5" s="7">
        <v>1825067</v>
      </c>
      <c r="S5">
        <v>0</v>
      </c>
      <c r="T5" s="3">
        <v>953142.08</v>
      </c>
      <c r="U5" s="3">
        <v>0</v>
      </c>
      <c r="V5" s="3">
        <v>1328198.01</v>
      </c>
      <c r="W5" s="3">
        <v>953142.08</v>
      </c>
      <c r="X5" s="3">
        <v>0</v>
      </c>
      <c r="Y5" s="3">
        <v>0</v>
      </c>
      <c r="Z5" s="3">
        <v>15938.376099999999</v>
      </c>
      <c r="AA5" s="3">
        <v>133152.98000000001</v>
      </c>
      <c r="AB5" s="3">
        <v>181725.32</v>
      </c>
      <c r="AC5" s="3">
        <v>314878.3</v>
      </c>
      <c r="AD5" s="3">
        <v>0</v>
      </c>
      <c r="AE5" s="3">
        <v>0</v>
      </c>
      <c r="AF5" s="3">
        <v>330816.68</v>
      </c>
      <c r="AG5">
        <v>0</v>
      </c>
    </row>
    <row r="6" spans="1:33" ht="30.75" customHeight="1" x14ac:dyDescent="0.25">
      <c r="A6" s="1" t="s">
        <v>73</v>
      </c>
      <c r="B6">
        <v>20</v>
      </c>
      <c r="C6">
        <v>0</v>
      </c>
      <c r="D6" s="21">
        <f t="shared" si="0"/>
        <v>-324770.93999999948</v>
      </c>
      <c r="E6" s="20">
        <v>6202988.6299999999</v>
      </c>
      <c r="F6">
        <v>0</v>
      </c>
      <c r="G6" s="7">
        <v>1218.0920000000001</v>
      </c>
      <c r="H6" s="7">
        <v>1724269</v>
      </c>
      <c r="I6" s="7">
        <v>1643002</v>
      </c>
      <c r="J6" s="9">
        <v>8.09E-2</v>
      </c>
      <c r="K6" s="7">
        <v>192439.98800000001</v>
      </c>
      <c r="L6" s="7">
        <v>0</v>
      </c>
      <c r="M6" s="7">
        <v>218310.4535</v>
      </c>
      <c r="N6" s="7">
        <v>0</v>
      </c>
      <c r="O6" s="7">
        <v>0</v>
      </c>
      <c r="P6" s="7">
        <v>0</v>
      </c>
      <c r="Q6" s="7">
        <v>1055308</v>
      </c>
      <c r="R6" s="7">
        <v>1825067</v>
      </c>
      <c r="S6">
        <v>0</v>
      </c>
      <c r="T6" s="3">
        <v>1311191.6000000001</v>
      </c>
      <c r="U6" s="3">
        <v>0</v>
      </c>
      <c r="V6" s="3">
        <v>1827137.97</v>
      </c>
      <c r="W6" s="3">
        <v>1311191.6000000001</v>
      </c>
      <c r="X6" s="3">
        <v>0</v>
      </c>
      <c r="Y6" s="3">
        <v>0</v>
      </c>
      <c r="Z6" s="3">
        <v>21925.655599999998</v>
      </c>
      <c r="AA6" s="3">
        <v>126636.9</v>
      </c>
      <c r="AB6" s="3">
        <v>179443.74</v>
      </c>
      <c r="AC6" s="3">
        <v>306080.64000000001</v>
      </c>
      <c r="AD6" s="3">
        <v>0</v>
      </c>
      <c r="AE6" s="3">
        <v>0</v>
      </c>
      <c r="AF6" s="3">
        <v>328006.3</v>
      </c>
      <c r="AG6">
        <v>0</v>
      </c>
    </row>
    <row r="7" spans="1:33" s="10" customFormat="1" ht="30.75" customHeight="1" x14ac:dyDescent="0.25">
      <c r="A7" s="18" t="s">
        <v>74</v>
      </c>
      <c r="B7" s="10">
        <v>25</v>
      </c>
      <c r="C7" s="10">
        <v>0</v>
      </c>
      <c r="D7" s="22">
        <f t="shared" si="0"/>
        <v>-902349.66000000015</v>
      </c>
      <c r="E7" s="23">
        <v>7105338.29</v>
      </c>
      <c r="F7" s="10">
        <v>0</v>
      </c>
      <c r="G7" s="13">
        <v>1305.7005999999999</v>
      </c>
      <c r="H7" s="13">
        <v>1848283</v>
      </c>
      <c r="I7" s="13">
        <v>1761171</v>
      </c>
      <c r="J7" s="14">
        <v>8.09E-2</v>
      </c>
      <c r="K7" s="13">
        <v>190509.74275</v>
      </c>
      <c r="L7" s="13">
        <v>0</v>
      </c>
      <c r="M7" s="13">
        <v>45374.025499999996</v>
      </c>
      <c r="N7" s="13">
        <v>204409.00625000001</v>
      </c>
      <c r="O7" s="13">
        <v>499.53</v>
      </c>
      <c r="P7" s="13">
        <v>12375.06</v>
      </c>
      <c r="Q7" s="13">
        <v>325911</v>
      </c>
      <c r="R7" s="13">
        <v>1825067</v>
      </c>
      <c r="S7" s="10">
        <v>0</v>
      </c>
      <c r="T7" s="11">
        <v>1405496.23</v>
      </c>
      <c r="U7" s="11">
        <v>2753184.73</v>
      </c>
      <c r="V7" s="11">
        <v>5795097.6699999999</v>
      </c>
      <c r="W7" s="11">
        <v>4158680.96</v>
      </c>
      <c r="X7" s="11">
        <v>3836550.22</v>
      </c>
      <c r="Y7" s="11">
        <v>0</v>
      </c>
      <c r="Z7" s="11">
        <v>119416.2797</v>
      </c>
      <c r="AA7" s="11">
        <v>39109.31</v>
      </c>
      <c r="AB7" s="11">
        <v>29033.79</v>
      </c>
      <c r="AC7" s="11">
        <v>68143.100000000006</v>
      </c>
      <c r="AD7" s="11">
        <v>0</v>
      </c>
      <c r="AE7" s="11">
        <v>0</v>
      </c>
      <c r="AF7" s="11">
        <v>187559.38</v>
      </c>
      <c r="AG7" s="10">
        <v>0</v>
      </c>
    </row>
    <row r="8" spans="1:33" ht="30.75" customHeight="1" x14ac:dyDescent="0.25">
      <c r="A8" s="1" t="s">
        <v>70</v>
      </c>
      <c r="B8">
        <v>5</v>
      </c>
      <c r="C8">
        <v>0</v>
      </c>
      <c r="D8" s="21">
        <f t="shared" si="0"/>
        <v>890294.08000000007</v>
      </c>
      <c r="E8" s="20">
        <v>6215044.21</v>
      </c>
      <c r="F8">
        <v>0</v>
      </c>
      <c r="G8" s="7">
        <v>8.6E-3</v>
      </c>
      <c r="H8" s="7">
        <v>12</v>
      </c>
      <c r="I8" s="7">
        <v>11</v>
      </c>
      <c r="J8" s="9">
        <v>8.2000000000000003E-2</v>
      </c>
      <c r="K8" s="7">
        <v>2.8812500000000005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1825056</v>
      </c>
      <c r="R8" s="7">
        <v>1825067</v>
      </c>
      <c r="S8">
        <v>0</v>
      </c>
      <c r="T8" s="3">
        <v>9.24</v>
      </c>
      <c r="U8" s="3">
        <v>0</v>
      </c>
      <c r="V8" s="3">
        <v>12.87</v>
      </c>
      <c r="W8" s="3">
        <v>9.24</v>
      </c>
      <c r="X8" s="3">
        <v>0</v>
      </c>
      <c r="Y8" s="3">
        <v>0</v>
      </c>
      <c r="Z8" s="3">
        <v>0.1545</v>
      </c>
      <c r="AA8" s="3">
        <v>219006.71</v>
      </c>
      <c r="AB8" s="3">
        <v>200353.85</v>
      </c>
      <c r="AC8" s="3">
        <v>419360.56</v>
      </c>
      <c r="AD8" s="3">
        <v>0</v>
      </c>
      <c r="AE8" s="3">
        <v>0</v>
      </c>
      <c r="AF8" s="3">
        <v>419360.71</v>
      </c>
      <c r="AG8">
        <v>0</v>
      </c>
    </row>
    <row r="9" spans="1:33" ht="30.75" customHeight="1" x14ac:dyDescent="0.25">
      <c r="A9" s="1" t="s">
        <v>71</v>
      </c>
      <c r="B9">
        <v>10</v>
      </c>
      <c r="C9">
        <v>0</v>
      </c>
      <c r="D9" s="21">
        <f t="shared" si="0"/>
        <v>557208.62999999989</v>
      </c>
      <c r="E9" s="20">
        <v>5657835.5800000001</v>
      </c>
      <c r="F9">
        <v>0</v>
      </c>
      <c r="G9" s="7">
        <v>496.89440000000002</v>
      </c>
      <c r="H9" s="7">
        <v>703378</v>
      </c>
      <c r="I9" s="7">
        <v>670227</v>
      </c>
      <c r="J9" s="9">
        <v>8.09E-2</v>
      </c>
      <c r="K9" s="7">
        <v>142695.122</v>
      </c>
      <c r="L9" s="7">
        <v>0</v>
      </c>
      <c r="M9" s="7">
        <v>24861.667750000001</v>
      </c>
      <c r="N9" s="7">
        <v>0</v>
      </c>
      <c r="O9" s="7">
        <v>0</v>
      </c>
      <c r="P9" s="7">
        <v>0</v>
      </c>
      <c r="Q9" s="7">
        <v>1254287</v>
      </c>
      <c r="R9" s="7">
        <v>1825067</v>
      </c>
      <c r="S9">
        <v>0</v>
      </c>
      <c r="T9" s="3">
        <v>534872.34</v>
      </c>
      <c r="U9" s="3">
        <v>0</v>
      </c>
      <c r="V9" s="3">
        <v>745341.54</v>
      </c>
      <c r="W9" s="3">
        <v>534872.34</v>
      </c>
      <c r="X9" s="3">
        <v>0</v>
      </c>
      <c r="Y9" s="3">
        <v>0</v>
      </c>
      <c r="Z9" s="3">
        <v>8944.0985000000001</v>
      </c>
      <c r="AA9" s="3">
        <v>150514.44</v>
      </c>
      <c r="AB9" s="3">
        <v>185370.56</v>
      </c>
      <c r="AC9" s="3">
        <v>335885</v>
      </c>
      <c r="AD9" s="3">
        <v>0</v>
      </c>
      <c r="AE9" s="3">
        <v>0</v>
      </c>
      <c r="AF9" s="3">
        <v>344829.1</v>
      </c>
      <c r="AG9">
        <v>0</v>
      </c>
    </row>
    <row r="10" spans="1:33" ht="30.75" customHeight="1" x14ac:dyDescent="0.25">
      <c r="A10" s="1" t="s">
        <v>72</v>
      </c>
      <c r="B10">
        <v>15</v>
      </c>
      <c r="C10">
        <v>0</v>
      </c>
      <c r="D10" s="21">
        <f t="shared" si="0"/>
        <v>326704.61000000034</v>
      </c>
      <c r="E10" s="20">
        <v>5331130.97</v>
      </c>
      <c r="F10">
        <v>0</v>
      </c>
      <c r="G10" s="7">
        <v>1106.5083999999999</v>
      </c>
      <c r="H10" s="7">
        <v>1566317</v>
      </c>
      <c r="I10" s="7">
        <v>1492494</v>
      </c>
      <c r="J10" s="9">
        <v>8.09E-2</v>
      </c>
      <c r="K10" s="7">
        <v>184991.43549999999</v>
      </c>
      <c r="L10" s="7">
        <v>0</v>
      </c>
      <c r="M10" s="7">
        <v>23595.942999999999</v>
      </c>
      <c r="N10" s="7">
        <v>164536.16425000003</v>
      </c>
      <c r="O10" s="7">
        <v>392.63</v>
      </c>
      <c r="P10" s="7">
        <v>5392.67</v>
      </c>
      <c r="Q10" s="7">
        <v>492931</v>
      </c>
      <c r="R10" s="7">
        <v>1825067</v>
      </c>
      <c r="S10">
        <v>0</v>
      </c>
      <c r="T10" s="3">
        <v>1191079.6100000001</v>
      </c>
      <c r="U10" s="3">
        <v>1411217.21</v>
      </c>
      <c r="V10" s="3">
        <v>3626285.51</v>
      </c>
      <c r="W10" s="3">
        <v>2602296.8199999998</v>
      </c>
      <c r="X10" s="3">
        <v>1966526.35</v>
      </c>
      <c r="Y10" s="3">
        <v>0</v>
      </c>
      <c r="Z10" s="3">
        <v>69080.224100000007</v>
      </c>
      <c r="AA10" s="3">
        <v>59151.72</v>
      </c>
      <c r="AB10" s="3">
        <v>49378.97</v>
      </c>
      <c r="AC10" s="3">
        <v>108530.69</v>
      </c>
      <c r="AD10" s="3">
        <v>0</v>
      </c>
      <c r="AE10" s="3">
        <v>0</v>
      </c>
      <c r="AF10" s="3">
        <v>177610.91</v>
      </c>
      <c r="AG10">
        <v>0</v>
      </c>
    </row>
    <row r="11" spans="1:33" ht="30.75" customHeight="1" x14ac:dyDescent="0.25">
      <c r="A11" s="1" t="s">
        <v>73</v>
      </c>
      <c r="B11">
        <v>20</v>
      </c>
      <c r="C11">
        <v>0</v>
      </c>
      <c r="D11" s="21">
        <f t="shared" si="0"/>
        <v>-906189.79</v>
      </c>
      <c r="E11" s="20">
        <v>6237320.7599999998</v>
      </c>
      <c r="F11">
        <v>0</v>
      </c>
      <c r="G11" s="7">
        <v>1214.8742</v>
      </c>
      <c r="H11" s="7">
        <v>1719714</v>
      </c>
      <c r="I11" s="7">
        <v>1638661</v>
      </c>
      <c r="J11" s="9">
        <v>8.09E-2</v>
      </c>
      <c r="K11" s="7">
        <v>187808.23175000001</v>
      </c>
      <c r="L11" s="7">
        <v>0</v>
      </c>
      <c r="M11" s="7">
        <v>32937.380499999999</v>
      </c>
      <c r="N11" s="7">
        <v>188919.74724999999</v>
      </c>
      <c r="O11" s="7">
        <v>448.52</v>
      </c>
      <c r="P11" s="7">
        <v>9128.5300000000007</v>
      </c>
      <c r="Q11" s="7">
        <v>392897</v>
      </c>
      <c r="R11" s="7">
        <v>1825067</v>
      </c>
      <c r="S11">
        <v>0</v>
      </c>
      <c r="T11" s="3">
        <v>1307727.8500000001</v>
      </c>
      <c r="U11" s="3">
        <v>2128323</v>
      </c>
      <c r="V11" s="3">
        <v>4788116.8499999996</v>
      </c>
      <c r="W11" s="3">
        <v>3436050.84</v>
      </c>
      <c r="X11" s="3">
        <v>2965800.45</v>
      </c>
      <c r="Y11" s="3">
        <v>0</v>
      </c>
      <c r="Z11" s="3">
        <v>96012.875</v>
      </c>
      <c r="AA11" s="3">
        <v>47147.65</v>
      </c>
      <c r="AB11" s="3">
        <v>36796.92</v>
      </c>
      <c r="AC11" s="3">
        <v>83944.57</v>
      </c>
      <c r="AD11" s="3">
        <v>0</v>
      </c>
      <c r="AE11" s="3">
        <v>0</v>
      </c>
      <c r="AF11" s="3">
        <v>179957.44</v>
      </c>
      <c r="AG11">
        <v>0</v>
      </c>
    </row>
    <row r="12" spans="1:33" ht="30.75" customHeight="1" x14ac:dyDescent="0.25">
      <c r="A12" s="1" t="s">
        <v>74</v>
      </c>
      <c r="B12">
        <v>25</v>
      </c>
      <c r="C12">
        <v>0</v>
      </c>
      <c r="D12" s="21">
        <f t="shared" si="0"/>
        <v>-868017.53000000026</v>
      </c>
      <c r="E12" s="20">
        <v>7105338.29</v>
      </c>
      <c r="F12">
        <v>0</v>
      </c>
      <c r="G12" s="7">
        <v>1305.7005999999999</v>
      </c>
      <c r="H12" s="7">
        <v>1848283</v>
      </c>
      <c r="I12" s="7">
        <v>1761171</v>
      </c>
      <c r="J12" s="9">
        <v>8.09E-2</v>
      </c>
      <c r="K12" s="7">
        <v>190509.74275</v>
      </c>
      <c r="L12" s="7">
        <v>0</v>
      </c>
      <c r="M12" s="7">
        <v>45374.025499999996</v>
      </c>
      <c r="N12" s="7">
        <v>204409.00625000001</v>
      </c>
      <c r="O12" s="7">
        <v>499.53</v>
      </c>
      <c r="P12" s="7">
        <v>12375.06</v>
      </c>
      <c r="Q12" s="7">
        <v>325911</v>
      </c>
      <c r="R12" s="7">
        <v>1825067</v>
      </c>
      <c r="S12">
        <v>0</v>
      </c>
      <c r="T12" s="3">
        <v>1405496.23</v>
      </c>
      <c r="U12" s="3">
        <v>2753184.73</v>
      </c>
      <c r="V12" s="3">
        <v>5795097.6699999999</v>
      </c>
      <c r="W12" s="3">
        <v>4158680.96</v>
      </c>
      <c r="X12" s="3">
        <v>3836550.22</v>
      </c>
      <c r="Y12" s="3">
        <v>0</v>
      </c>
      <c r="Z12" s="3">
        <v>119416.2797</v>
      </c>
      <c r="AA12" s="3">
        <v>39109.31</v>
      </c>
      <c r="AB12" s="3">
        <v>29033.79</v>
      </c>
      <c r="AC12" s="3">
        <v>68143.100000000006</v>
      </c>
      <c r="AD12" s="3">
        <v>0</v>
      </c>
      <c r="AE12" s="3">
        <v>0</v>
      </c>
      <c r="AF12" s="3">
        <v>187559.38</v>
      </c>
      <c r="AG12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Result_0</vt:lpstr>
      <vt:lpstr>Result_1</vt:lpstr>
      <vt:lpstr>Result_2</vt:lpstr>
      <vt:lpstr>Result_3</vt:lpstr>
      <vt:lpstr>Result_4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Bernal, Daniel</cp:lastModifiedBy>
  <dcterms:created xsi:type="dcterms:W3CDTF">2026-10-02T18:54:51Z</dcterms:created>
  <dcterms:modified xsi:type="dcterms:W3CDTF">2026-10-07T04:24:52Z</dcterms:modified>
</cp:coreProperties>
</file>